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1D19558A-900D-4801-B98C-0C5068BB58E8}" xr6:coauthVersionLast="47" xr6:coauthVersionMax="47" xr10:uidLastSave="{00000000-0000-0000-0000-000000000000}"/>
  <bookViews>
    <workbookView xWindow="-120" yWindow="-120" windowWidth="24240" windowHeight="13140" activeTab="1" xr2:uid="{09881148-1D76-42C6-9ADD-5207D2B71FA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6" i="1"/>
  <c r="L2" i="1"/>
  <c r="L5" i="1"/>
  <c r="O5" i="1" s="1"/>
  <c r="L8" i="1"/>
  <c r="O8" i="1" s="1"/>
  <c r="L4" i="1"/>
  <c r="P4" i="1" s="1"/>
  <c r="L11" i="1"/>
  <c r="O11" i="1" s="1"/>
  <c r="L3" i="1"/>
  <c r="O3" i="1" s="1"/>
  <c r="L10" i="1"/>
  <c r="P10" i="1" s="1"/>
  <c r="P9" i="1"/>
  <c r="P6" i="1"/>
  <c r="P2" i="1"/>
  <c r="P8" i="1"/>
  <c r="P3" i="1"/>
  <c r="O9" i="1"/>
  <c r="O6" i="1"/>
  <c r="O2" i="1"/>
  <c r="L7" i="1"/>
  <c r="O7" i="1" s="1"/>
  <c r="P11" i="1" l="1"/>
  <c r="P7" i="1"/>
  <c r="P5" i="1"/>
  <c r="O10" i="1"/>
  <c r="O4" i="1"/>
</calcChain>
</file>

<file path=xl/sharedStrings.xml><?xml version="1.0" encoding="utf-8"?>
<sst xmlns="http://schemas.openxmlformats.org/spreadsheetml/2006/main" count="20" uniqueCount="20">
  <si>
    <t>STUDENT NAME</t>
  </si>
  <si>
    <t>OBTAINED MARKS</t>
  </si>
  <si>
    <t>PASSING MARKS</t>
  </si>
  <si>
    <t>TOTAL MARKS</t>
  </si>
  <si>
    <t>PERCENTAGE (%)</t>
  </si>
  <si>
    <t>GRADE (FAIL/PASS)</t>
  </si>
  <si>
    <t>ENGLISH</t>
  </si>
  <si>
    <t>MATHEMATICS-1</t>
  </si>
  <si>
    <t>PHYSICS</t>
  </si>
  <si>
    <t>CHEMISTRY</t>
  </si>
  <si>
    <t>RAM SAHA</t>
  </si>
  <si>
    <t>SHYAMA DAS</t>
  </si>
  <si>
    <t>OISHI GHOSH</t>
  </si>
  <si>
    <t>ABHIKA MONDAL</t>
  </si>
  <si>
    <t>HRISHIKESH DAS</t>
  </si>
  <si>
    <t>ASHIS GHOSH</t>
  </si>
  <si>
    <t>SOUMO MONDAL</t>
  </si>
  <si>
    <t>AKHIL PAN</t>
  </si>
  <si>
    <t>SAGAR PAN</t>
  </si>
  <si>
    <t>SIDHU BANERJEE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</si>
</sst>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masis MT Pro"/>
      <family val="1"/>
    </font>
    <font>
      <b/>
      <sz val="9"/>
      <color theme="1"/>
      <name val="Amasis MT Pro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5">
    <dxf>
      <font>
        <b/>
        <strike val="0"/>
        <outline val="0"/>
        <shadow val="0"/>
        <u val="none"/>
        <vertAlign val="baseline"/>
        <sz val="9"/>
        <color theme="1"/>
        <name val="Amasis MT Pro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masis MT Pro"/>
        <family val="1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86DF-41C2-9CC0-45AFA1146CE5}"/>
              </c:ext>
            </c:extLst>
          </c:dPt>
          <c:cat>
            <c:strRef>
              <c:f>Sheet1!$G$2:$G$11</c:f>
              <c:strCache>
                <c:ptCount val="10"/>
                <c:pt idx="0">
                  <c:v>ABHIKA MONDAL</c:v>
                </c:pt>
                <c:pt idx="1">
                  <c:v>AKHIL PAN</c:v>
                </c:pt>
                <c:pt idx="2">
                  <c:v>ASHIS GHOSH</c:v>
                </c:pt>
                <c:pt idx="3">
                  <c:v>HRISHIKESH DAS</c:v>
                </c:pt>
                <c:pt idx="4">
                  <c:v>OISHI GHOSH</c:v>
                </c:pt>
                <c:pt idx="5">
                  <c:v>RAM SAHA</c:v>
                </c:pt>
                <c:pt idx="6">
                  <c:v>SAGAR PAN</c:v>
                </c:pt>
                <c:pt idx="7">
                  <c:v>SHYAMA DAS</c:v>
                </c:pt>
                <c:pt idx="8">
                  <c:v>SIDHU BANERJEE</c:v>
                </c:pt>
                <c:pt idx="9">
                  <c:v>SOUMO MONDAL</c:v>
                </c:pt>
              </c:strCache>
            </c:strRef>
          </c:cat>
          <c:val>
            <c:numRef>
              <c:f>Sheet1!$L$2:$L$11</c:f>
              <c:numCache>
                <c:formatCode>General</c:formatCode>
                <c:ptCount val="10"/>
                <c:pt idx="0">
                  <c:v>371</c:v>
                </c:pt>
                <c:pt idx="1">
                  <c:v>377</c:v>
                </c:pt>
                <c:pt idx="2">
                  <c:v>322</c:v>
                </c:pt>
                <c:pt idx="3">
                  <c:v>348</c:v>
                </c:pt>
                <c:pt idx="4">
                  <c:v>374</c:v>
                </c:pt>
                <c:pt idx="5">
                  <c:v>385</c:v>
                </c:pt>
                <c:pt idx="6">
                  <c:v>352</c:v>
                </c:pt>
                <c:pt idx="7">
                  <c:v>370</c:v>
                </c:pt>
                <c:pt idx="8">
                  <c:v>349</c:v>
                </c:pt>
                <c:pt idx="9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F-41C2-9CC0-45AFA1146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3"/>
        <c:overlap val="28"/>
        <c:axId val="234509535"/>
        <c:axId val="234510015"/>
      </c:barChart>
      <c:catAx>
        <c:axId val="2345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10015"/>
        <c:crosses val="autoZero"/>
        <c:auto val="1"/>
        <c:lblAlgn val="ctr"/>
        <c:lblOffset val="100"/>
        <c:noMultiLvlLbl val="0"/>
      </c:catAx>
      <c:valAx>
        <c:axId val="2345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50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12</xdr:row>
      <xdr:rowOff>76199</xdr:rowOff>
    </xdr:from>
    <xdr:to>
      <xdr:col>16</xdr:col>
      <xdr:colOff>9525</xdr:colOff>
      <xdr:row>25</xdr:row>
      <xdr:rowOff>147636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0EAFEE-E4F5-97F6-86F7-A40884CC0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C0C37-E021-493A-B470-271260995990}" name="Table1" displayName="Table1" ref="G1:P11" totalsRowShown="0" headerRowDxfId="0" dataDxfId="1">
  <autoFilter ref="G1:P11" xr:uid="{396C0C37-E021-493A-B470-271260995990}"/>
  <sortState xmlns:xlrd2="http://schemas.microsoft.com/office/spreadsheetml/2017/richdata2" ref="G2:P11">
    <sortCondition ref="G1:G11"/>
  </sortState>
  <tableColumns count="10">
    <tableColumn id="1" xr3:uid="{BF48E432-F187-41DD-9E8E-45E63B232AE0}" name="STUDENT NAME" dataDxfId="11"/>
    <tableColumn id="2" xr3:uid="{A3BF5B2C-3BA0-4212-BE57-EED1E25E8E68}" name="ENGLISH" dataDxfId="10"/>
    <tableColumn id="3" xr3:uid="{DCE4255A-E197-444E-8D56-C60BA9B5450C}" name="MATHEMATICS-1" dataDxfId="9"/>
    <tableColumn id="4" xr3:uid="{787CC9DF-13D0-4C29-BA5D-815C5B98A2C1}" name="PHYSICS" dataDxfId="8"/>
    <tableColumn id="5" xr3:uid="{E60C9689-688C-42DB-8DF9-B67F391F70C9}" name="CHEMISTRY" dataDxfId="7"/>
    <tableColumn id="6" xr3:uid="{945C419E-4A1D-40A2-BDB3-FF567A93B7DC}" name="OBTAINED MARKS" dataDxfId="6">
      <calculatedColumnFormula>SUM(H2:K2)</calculatedColumnFormula>
    </tableColumn>
    <tableColumn id="7" xr3:uid="{EDAFC077-2E0D-49D9-AD79-E59D79860E57}" name="PASSING MARKS" dataDxfId="5"/>
    <tableColumn id="8" xr3:uid="{5C2856E0-5861-4EB4-B2F9-C7F29C033963}" name="TOTAL MARKS" dataDxfId="4"/>
    <tableColumn id="9" xr3:uid="{266F6FE5-4F61-4E14-A981-5CC9E6961ADA}" name="PERCENTAGE (%)" dataDxfId="3">
      <calculatedColumnFormula>(L2/N2)*100</calculatedColumnFormula>
    </tableColumn>
    <tableColumn id="10" xr3:uid="{E779AD39-11F9-48BC-A2D4-3B2CFBDFC00C}" name="GRADE (FAIL/PASS)" dataDxfId="2">
      <calculatedColumnFormula>IF(L2&gt;=350,"PASS","FAIL")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C273-E4EC-4C12-BB0B-25D3E6A5EA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694F-A074-4BCE-85DC-5C0CB8562A7A}">
  <dimension ref="F1:P11"/>
  <sheetViews>
    <sheetView tabSelected="1" workbookViewId="0">
      <selection activeCell="E11" sqref="E11"/>
    </sheetView>
  </sheetViews>
  <sheetFormatPr defaultRowHeight="15" x14ac:dyDescent="0.25"/>
  <cols>
    <col min="6" max="6" width="6.7109375" customWidth="1"/>
    <col min="7" max="7" width="19.28515625" customWidth="1"/>
    <col min="8" max="8" width="10.5703125" customWidth="1"/>
    <col min="9" max="9" width="17.28515625" customWidth="1"/>
    <col min="10" max="10" width="10.28515625" customWidth="1"/>
    <col min="11" max="11" width="12.85546875" customWidth="1"/>
    <col min="12" max="12" width="18.5703125" customWidth="1"/>
    <col min="13" max="13" width="17.140625" customWidth="1"/>
    <col min="14" max="14" width="15" customWidth="1"/>
    <col min="15" max="15" width="17.85546875" customWidth="1"/>
    <col min="16" max="16" width="19.42578125" customWidth="1"/>
  </cols>
  <sheetData>
    <row r="1" spans="6:16" ht="15.75" x14ac:dyDescent="0.25">
      <c r="F1" s="1"/>
      <c r="G1" s="3" t="s">
        <v>0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</row>
    <row r="2" spans="6:16" ht="15.75" x14ac:dyDescent="0.25">
      <c r="F2" s="1"/>
      <c r="G2" s="2" t="s">
        <v>13</v>
      </c>
      <c r="H2" s="2">
        <v>98</v>
      </c>
      <c r="I2" s="2">
        <v>86</v>
      </c>
      <c r="J2" s="2">
        <v>90</v>
      </c>
      <c r="K2" s="2">
        <v>97</v>
      </c>
      <c r="L2" s="2">
        <f>SUM(H2:K2)</f>
        <v>371</v>
      </c>
      <c r="M2" s="2">
        <v>240</v>
      </c>
      <c r="N2" s="2">
        <v>400</v>
      </c>
      <c r="O2" s="2">
        <f>(L2/N2)*100</f>
        <v>92.75</v>
      </c>
      <c r="P2" s="2" t="str">
        <f>IF(L2&gt;=350,"PASS","FAIL")</f>
        <v>PASS</v>
      </c>
    </row>
    <row r="3" spans="6:16" ht="15.75" x14ac:dyDescent="0.25">
      <c r="F3" s="1"/>
      <c r="G3" s="2" t="s">
        <v>17</v>
      </c>
      <c r="H3" s="2">
        <v>98</v>
      </c>
      <c r="I3" s="2">
        <v>87</v>
      </c>
      <c r="J3" s="2">
        <v>96</v>
      </c>
      <c r="K3" s="2">
        <v>96</v>
      </c>
      <c r="L3" s="2">
        <f>SUM(H3:K3)</f>
        <v>377</v>
      </c>
      <c r="M3" s="2">
        <v>240</v>
      </c>
      <c r="N3" s="2">
        <v>400</v>
      </c>
      <c r="O3" s="2">
        <f>(L3/N3)*100</f>
        <v>94.25</v>
      </c>
      <c r="P3" s="2" t="str">
        <f>IF(L3&gt;=350,"PASS","FAIL")</f>
        <v>PASS</v>
      </c>
    </row>
    <row r="4" spans="6:16" ht="15.75" x14ac:dyDescent="0.25">
      <c r="F4" s="1"/>
      <c r="G4" s="2" t="s">
        <v>15</v>
      </c>
      <c r="H4" s="2">
        <v>91</v>
      </c>
      <c r="I4" s="2">
        <v>72</v>
      </c>
      <c r="J4" s="2">
        <v>76</v>
      </c>
      <c r="K4" s="2">
        <v>83</v>
      </c>
      <c r="L4" s="2">
        <f>SUM(H4:K4)</f>
        <v>322</v>
      </c>
      <c r="M4" s="2">
        <v>240</v>
      </c>
      <c r="N4" s="2">
        <v>400</v>
      </c>
      <c r="O4" s="2">
        <f>(L4/N4)*100</f>
        <v>80.5</v>
      </c>
      <c r="P4" s="2" t="str">
        <f>IF(L4&gt;=350,"PASS","FAIL")</f>
        <v>FAIL</v>
      </c>
    </row>
    <row r="5" spans="6:16" ht="15.75" x14ac:dyDescent="0.25">
      <c r="F5" s="1"/>
      <c r="G5" s="2" t="s">
        <v>14</v>
      </c>
      <c r="H5" s="2">
        <v>92</v>
      </c>
      <c r="I5" s="2">
        <v>82</v>
      </c>
      <c r="J5" s="2">
        <v>86</v>
      </c>
      <c r="K5" s="2">
        <v>88</v>
      </c>
      <c r="L5" s="2">
        <f>SUM(H5:K5)</f>
        <v>348</v>
      </c>
      <c r="M5" s="2">
        <v>240</v>
      </c>
      <c r="N5" s="2">
        <v>400</v>
      </c>
      <c r="O5" s="2">
        <f>(L5/N5)*100</f>
        <v>87</v>
      </c>
      <c r="P5" s="2" t="str">
        <f>IF(L5&gt;=350,"PASS","FAIL")</f>
        <v>FAIL</v>
      </c>
    </row>
    <row r="6" spans="6:16" ht="15.75" x14ac:dyDescent="0.25">
      <c r="F6" s="1"/>
      <c r="G6" s="2" t="s">
        <v>12</v>
      </c>
      <c r="H6" s="2">
        <v>100</v>
      </c>
      <c r="I6" s="2">
        <v>93</v>
      </c>
      <c r="J6" s="2">
        <v>89</v>
      </c>
      <c r="K6" s="2">
        <v>92</v>
      </c>
      <c r="L6" s="2">
        <f>SUM(H6:K6)</f>
        <v>374</v>
      </c>
      <c r="M6" s="2">
        <v>240</v>
      </c>
      <c r="N6" s="2">
        <v>400</v>
      </c>
      <c r="O6" s="2">
        <f>(L6/N6)*100</f>
        <v>93.5</v>
      </c>
      <c r="P6" s="2" t="str">
        <f>IF(L6&gt;=350,"PASS","FAIL")</f>
        <v>PASS</v>
      </c>
    </row>
    <row r="7" spans="6:16" ht="15.75" x14ac:dyDescent="0.25">
      <c r="F7" s="1"/>
      <c r="G7" s="2" t="s">
        <v>10</v>
      </c>
      <c r="H7" s="2">
        <v>100</v>
      </c>
      <c r="I7" s="2">
        <v>97</v>
      </c>
      <c r="J7" s="2">
        <v>89</v>
      </c>
      <c r="K7" s="2">
        <v>99</v>
      </c>
      <c r="L7" s="2">
        <f>SUM(H7:K7)</f>
        <v>385</v>
      </c>
      <c r="M7" s="2">
        <v>240</v>
      </c>
      <c r="N7" s="2">
        <v>400</v>
      </c>
      <c r="O7" s="2">
        <f>(L7/N7)*100</f>
        <v>96.25</v>
      </c>
      <c r="P7" s="2" t="str">
        <f>IF(L7&gt;=350,"PASS","FAIL")</f>
        <v>PASS</v>
      </c>
    </row>
    <row r="8" spans="6:16" ht="15.75" x14ac:dyDescent="0.25">
      <c r="F8" s="1"/>
      <c r="G8" s="2" t="s">
        <v>18</v>
      </c>
      <c r="H8" s="2">
        <v>96</v>
      </c>
      <c r="I8" s="2">
        <v>82</v>
      </c>
      <c r="J8" s="2">
        <v>89</v>
      </c>
      <c r="K8" s="2">
        <v>85</v>
      </c>
      <c r="L8" s="2">
        <f>SUM(H8:K8)</f>
        <v>352</v>
      </c>
      <c r="M8" s="2">
        <v>240</v>
      </c>
      <c r="N8" s="2">
        <v>400</v>
      </c>
      <c r="O8" s="2">
        <f>(L8/N8)*100</f>
        <v>88</v>
      </c>
      <c r="P8" s="2" t="str">
        <f>IF(L8&gt;=350,"PASS","FAIL")</f>
        <v>PASS</v>
      </c>
    </row>
    <row r="9" spans="6:16" ht="15.75" x14ac:dyDescent="0.25">
      <c r="F9" s="1"/>
      <c r="G9" s="2" t="s">
        <v>11</v>
      </c>
      <c r="H9" s="2">
        <v>95</v>
      </c>
      <c r="I9" s="2">
        <v>95</v>
      </c>
      <c r="J9" s="2">
        <v>85</v>
      </c>
      <c r="K9" s="2">
        <v>95</v>
      </c>
      <c r="L9" s="2">
        <f>SUM(H9:K9)</f>
        <v>370</v>
      </c>
      <c r="M9" s="2">
        <v>240</v>
      </c>
      <c r="N9" s="2">
        <v>400</v>
      </c>
      <c r="O9" s="2">
        <f>(L9/N9)*100</f>
        <v>92.5</v>
      </c>
      <c r="P9" s="2" t="str">
        <f>IF(L9&gt;=350,"PASS","FAIL")</f>
        <v>PASS</v>
      </c>
    </row>
    <row r="10" spans="6:16" ht="15.75" x14ac:dyDescent="0.25">
      <c r="F10" s="1"/>
      <c r="G10" s="2" t="s">
        <v>19</v>
      </c>
      <c r="H10" s="2">
        <v>93</v>
      </c>
      <c r="I10" s="2">
        <v>90</v>
      </c>
      <c r="J10" s="2">
        <v>90</v>
      </c>
      <c r="K10" s="2">
        <v>76</v>
      </c>
      <c r="L10" s="2">
        <f>SUM(H10:K10)</f>
        <v>349</v>
      </c>
      <c r="M10" s="2">
        <v>240</v>
      </c>
      <c r="N10" s="2">
        <v>400</v>
      </c>
      <c r="O10" s="2">
        <f>(L10/N10)*100</f>
        <v>87.25</v>
      </c>
      <c r="P10" s="2" t="str">
        <f>IF(L10&gt;=350,"PASS","FAIL")</f>
        <v>FAIL</v>
      </c>
    </row>
    <row r="11" spans="6:16" ht="15.75" x14ac:dyDescent="0.25">
      <c r="F11" s="1"/>
      <c r="G11" s="2" t="s">
        <v>16</v>
      </c>
      <c r="H11" s="2">
        <v>90</v>
      </c>
      <c r="I11" s="2">
        <v>95</v>
      </c>
      <c r="J11" s="2">
        <v>94</v>
      </c>
      <c r="K11" s="2">
        <v>90</v>
      </c>
      <c r="L11" s="2">
        <f>SUM(H11:K11)</f>
        <v>369</v>
      </c>
      <c r="M11" s="2">
        <v>240</v>
      </c>
      <c r="N11" s="2">
        <v>400</v>
      </c>
      <c r="O11" s="2">
        <f>(L11/N11)*100</f>
        <v>92.25</v>
      </c>
      <c r="P11" s="2" t="str">
        <f>IF(L11&gt;=350,"PASS","FAIL")</f>
        <v>PASS</v>
      </c>
    </row>
  </sheetData>
  <conditionalFormatting sqref="L2:L11">
    <cfRule type="cellIs" dxfId="12" priority="2" operator="lessThan">
      <formula>350</formula>
    </cfRule>
    <cfRule type="cellIs" dxfId="13" priority="1" operator="greaterThan">
      <formula>350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TMSL</dc:creator>
  <cp:lastModifiedBy>IT TMSL</cp:lastModifiedBy>
  <dcterms:created xsi:type="dcterms:W3CDTF">2025-03-07T05:01:29Z</dcterms:created>
  <dcterms:modified xsi:type="dcterms:W3CDTF">2025-03-07T05:58:05Z</dcterms:modified>
</cp:coreProperties>
</file>