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000" yWindow="0" windowWidth="12000" windowHeight="129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/>
  <c r="I12"/>
  <c r="H6"/>
  <c r="H12"/>
  <c r="G12"/>
  <c r="G6"/>
  <c r="F3"/>
  <c r="F4"/>
  <c r="F5"/>
  <c r="F6"/>
  <c r="F7"/>
  <c r="F8"/>
  <c r="F9"/>
  <c r="F10"/>
  <c r="F11"/>
  <c r="F12"/>
</calcChain>
</file>

<file path=xl/sharedStrings.xml><?xml version="1.0" encoding="utf-8"?>
<sst xmlns="http://schemas.openxmlformats.org/spreadsheetml/2006/main" count="63" uniqueCount="55">
  <si>
    <t>Name</t>
  </si>
  <si>
    <t>Age</t>
  </si>
  <si>
    <t>Department</t>
  </si>
  <si>
    <t>Salary</t>
  </si>
  <si>
    <t>Subhadeep Kar</t>
  </si>
  <si>
    <t>Rahul Roy</t>
  </si>
  <si>
    <t>Nikhil Roy</t>
  </si>
  <si>
    <t>Subir Biswas</t>
  </si>
  <si>
    <t>Harsh Singh</t>
  </si>
  <si>
    <t>Salmik Ghosh</t>
  </si>
  <si>
    <t>Niloy Golui</t>
  </si>
  <si>
    <t>Ankan Mitra</t>
  </si>
  <si>
    <t>Piyush Das</t>
  </si>
  <si>
    <t>Rohit Bose</t>
  </si>
  <si>
    <t>CST</t>
  </si>
  <si>
    <t>ECE</t>
  </si>
  <si>
    <t>Total Salary</t>
  </si>
  <si>
    <t>Maximum Salary</t>
  </si>
  <si>
    <t>Minimum Salary</t>
  </si>
  <si>
    <t>Product Name</t>
  </si>
  <si>
    <t>Category</t>
  </si>
  <si>
    <t>Price</t>
  </si>
  <si>
    <t>Quantity Sold</t>
  </si>
  <si>
    <t xml:space="preserve">Avarage Salary </t>
  </si>
  <si>
    <t>Keyboard</t>
  </si>
  <si>
    <t>Monitor</t>
  </si>
  <si>
    <t>Mouse</t>
  </si>
  <si>
    <t>Printer</t>
  </si>
  <si>
    <t>Speaker</t>
  </si>
  <si>
    <t>Graphics Card</t>
  </si>
  <si>
    <t>Company</t>
  </si>
  <si>
    <t>Logitech</t>
  </si>
  <si>
    <t>BenQ</t>
  </si>
  <si>
    <t>Wired</t>
  </si>
  <si>
    <t>Touch</t>
  </si>
  <si>
    <t>Wireless</t>
  </si>
  <si>
    <t>Acer</t>
  </si>
  <si>
    <t>Consistent</t>
  </si>
  <si>
    <t>Gaming</t>
  </si>
  <si>
    <t>Zebronics</t>
  </si>
  <si>
    <t>Epson EcoTank</t>
  </si>
  <si>
    <t>RTX</t>
  </si>
  <si>
    <t xml:space="preserve">Ink jet </t>
  </si>
  <si>
    <t>logitech</t>
  </si>
  <si>
    <t>2.0 stereo</t>
  </si>
  <si>
    <t>RAM 8GB</t>
  </si>
  <si>
    <t>Sata</t>
  </si>
  <si>
    <t>SSD 240GB</t>
  </si>
  <si>
    <t>WD</t>
  </si>
  <si>
    <t xml:space="preserve">AMD </t>
  </si>
  <si>
    <t>Processor Ryzen 5 5600G</t>
  </si>
  <si>
    <t>Hexa-core</t>
  </si>
  <si>
    <t>Motherboard</t>
  </si>
  <si>
    <t>Asus</t>
  </si>
  <si>
    <t>Micro ATX</t>
  </si>
</sst>
</file>

<file path=xl/styles.xml><?xml version="1.0" encoding="utf-8"?>
<styleSheet xmlns="http://schemas.openxmlformats.org/spreadsheetml/2006/main">
  <numFmts count="1">
    <numFmt numFmtId="164" formatCode="_ [$₹-4009]\ * #,##0.00_ ;_ [$₹-4009]\ * \-#,##0.00_ ;_ [$₹-4009]\ * &quot;-&quot;??_ ;_ @_ 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Font="1" applyBorder="1"/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Sheet1!$E$14</c:f>
              <c:strCache>
                <c:ptCount val="1"/>
                <c:pt idx="0">
                  <c:v>Price</c:v>
                </c:pt>
              </c:strCache>
            </c:strRef>
          </c:tx>
          <c:dLbls>
            <c:showVal val="1"/>
          </c:dLbls>
          <c:cat>
            <c:multiLvlStrRef>
              <c:f>Sheet1!$B$15:$D$24</c:f>
              <c:multiLvlStrCache>
                <c:ptCount val="10"/>
                <c:lvl>
                  <c:pt idx="0">
                    <c:v>Touch</c:v>
                  </c:pt>
                  <c:pt idx="1">
                    <c:v>Wired</c:v>
                  </c:pt>
                  <c:pt idx="2">
                    <c:v>Wireless</c:v>
                  </c:pt>
                  <c:pt idx="3">
                    <c:v>Gaming</c:v>
                  </c:pt>
                  <c:pt idx="4">
                    <c:v>Sata</c:v>
                  </c:pt>
                  <c:pt idx="5">
                    <c:v>Hexa-core</c:v>
                  </c:pt>
                  <c:pt idx="6">
                    <c:v>RTX</c:v>
                  </c:pt>
                  <c:pt idx="7">
                    <c:v>Ink jet </c:v>
                  </c:pt>
                  <c:pt idx="8">
                    <c:v>2.0 stereo</c:v>
                  </c:pt>
                  <c:pt idx="9">
                    <c:v>Micro ATX</c:v>
                  </c:pt>
                </c:lvl>
                <c:lvl>
                  <c:pt idx="0">
                    <c:v>BenQ</c:v>
                  </c:pt>
                  <c:pt idx="1">
                    <c:v>Logitech</c:v>
                  </c:pt>
                  <c:pt idx="2">
                    <c:v>Acer</c:v>
                  </c:pt>
                  <c:pt idx="3">
                    <c:v>Consistent</c:v>
                  </c:pt>
                  <c:pt idx="4">
                    <c:v>WD</c:v>
                  </c:pt>
                  <c:pt idx="5">
                    <c:v>AMD </c:v>
                  </c:pt>
                  <c:pt idx="6">
                    <c:v>Zebronics</c:v>
                  </c:pt>
                  <c:pt idx="7">
                    <c:v>Epson EcoTank</c:v>
                  </c:pt>
                  <c:pt idx="8">
                    <c:v>logitech</c:v>
                  </c:pt>
                  <c:pt idx="9">
                    <c:v>Asus</c:v>
                  </c:pt>
                </c:lvl>
                <c:lvl>
                  <c:pt idx="0">
                    <c:v>Monitor</c:v>
                  </c:pt>
                  <c:pt idx="1">
                    <c:v>Keyboard</c:v>
                  </c:pt>
                  <c:pt idx="2">
                    <c:v>Mouse</c:v>
                  </c:pt>
                  <c:pt idx="3">
                    <c:v>RAM 8GB</c:v>
                  </c:pt>
                  <c:pt idx="4">
                    <c:v>SSD 240GB</c:v>
                  </c:pt>
                  <c:pt idx="5">
                    <c:v>Processor Ryzen 5 5600G</c:v>
                  </c:pt>
                  <c:pt idx="6">
                    <c:v>Graphics Card</c:v>
                  </c:pt>
                  <c:pt idx="7">
                    <c:v>Printer</c:v>
                  </c:pt>
                  <c:pt idx="8">
                    <c:v>Speaker</c:v>
                  </c:pt>
                  <c:pt idx="9">
                    <c:v>Motherboard</c:v>
                  </c:pt>
                </c:lvl>
              </c:multiLvlStrCache>
            </c:multiLvlStrRef>
          </c:cat>
          <c:val>
            <c:numRef>
              <c:f>Sheet1!$E$15:$E$24</c:f>
              <c:numCache>
                <c:formatCode>General</c:formatCode>
                <c:ptCount val="10"/>
                <c:pt idx="0">
                  <c:v>6536</c:v>
                </c:pt>
                <c:pt idx="1">
                  <c:v>1200</c:v>
                </c:pt>
                <c:pt idx="2">
                  <c:v>950</c:v>
                </c:pt>
                <c:pt idx="3">
                  <c:v>2200</c:v>
                </c:pt>
                <c:pt idx="4">
                  <c:v>2600</c:v>
                </c:pt>
                <c:pt idx="5">
                  <c:v>14399</c:v>
                </c:pt>
                <c:pt idx="6">
                  <c:v>3500</c:v>
                </c:pt>
                <c:pt idx="7">
                  <c:v>137699</c:v>
                </c:pt>
                <c:pt idx="8">
                  <c:v>2839</c:v>
                </c:pt>
                <c:pt idx="9">
                  <c:v>4139</c:v>
                </c:pt>
              </c:numCache>
            </c:numRef>
          </c:val>
        </c:ser>
        <c:ser>
          <c:idx val="1"/>
          <c:order val="1"/>
          <c:tx>
            <c:strRef>
              <c:f>Sheet1!$F$14</c:f>
              <c:strCache>
                <c:ptCount val="1"/>
                <c:pt idx="0">
                  <c:v>Quantity Sold</c:v>
                </c:pt>
              </c:strCache>
            </c:strRef>
          </c:tx>
          <c:dLbls>
            <c:showVal val="1"/>
          </c:dLbls>
          <c:cat>
            <c:multiLvlStrRef>
              <c:f>Sheet1!$B$15:$D$24</c:f>
              <c:multiLvlStrCache>
                <c:ptCount val="10"/>
                <c:lvl>
                  <c:pt idx="0">
                    <c:v>Touch</c:v>
                  </c:pt>
                  <c:pt idx="1">
                    <c:v>Wired</c:v>
                  </c:pt>
                  <c:pt idx="2">
                    <c:v>Wireless</c:v>
                  </c:pt>
                  <c:pt idx="3">
                    <c:v>Gaming</c:v>
                  </c:pt>
                  <c:pt idx="4">
                    <c:v>Sata</c:v>
                  </c:pt>
                  <c:pt idx="5">
                    <c:v>Hexa-core</c:v>
                  </c:pt>
                  <c:pt idx="6">
                    <c:v>RTX</c:v>
                  </c:pt>
                  <c:pt idx="7">
                    <c:v>Ink jet </c:v>
                  </c:pt>
                  <c:pt idx="8">
                    <c:v>2.0 stereo</c:v>
                  </c:pt>
                  <c:pt idx="9">
                    <c:v>Micro ATX</c:v>
                  </c:pt>
                </c:lvl>
                <c:lvl>
                  <c:pt idx="0">
                    <c:v>BenQ</c:v>
                  </c:pt>
                  <c:pt idx="1">
                    <c:v>Logitech</c:v>
                  </c:pt>
                  <c:pt idx="2">
                    <c:v>Acer</c:v>
                  </c:pt>
                  <c:pt idx="3">
                    <c:v>Consistent</c:v>
                  </c:pt>
                  <c:pt idx="4">
                    <c:v>WD</c:v>
                  </c:pt>
                  <c:pt idx="5">
                    <c:v>AMD </c:v>
                  </c:pt>
                  <c:pt idx="6">
                    <c:v>Zebronics</c:v>
                  </c:pt>
                  <c:pt idx="7">
                    <c:v>Epson EcoTank</c:v>
                  </c:pt>
                  <c:pt idx="8">
                    <c:v>logitech</c:v>
                  </c:pt>
                  <c:pt idx="9">
                    <c:v>Asus</c:v>
                  </c:pt>
                </c:lvl>
                <c:lvl>
                  <c:pt idx="0">
                    <c:v>Monitor</c:v>
                  </c:pt>
                  <c:pt idx="1">
                    <c:v>Keyboard</c:v>
                  </c:pt>
                  <c:pt idx="2">
                    <c:v>Mouse</c:v>
                  </c:pt>
                  <c:pt idx="3">
                    <c:v>RAM 8GB</c:v>
                  </c:pt>
                  <c:pt idx="4">
                    <c:v>SSD 240GB</c:v>
                  </c:pt>
                  <c:pt idx="5">
                    <c:v>Processor Ryzen 5 5600G</c:v>
                  </c:pt>
                  <c:pt idx="6">
                    <c:v>Graphics Card</c:v>
                  </c:pt>
                  <c:pt idx="7">
                    <c:v>Printer</c:v>
                  </c:pt>
                  <c:pt idx="8">
                    <c:v>Speaker</c:v>
                  </c:pt>
                  <c:pt idx="9">
                    <c:v>Motherboard</c:v>
                  </c:pt>
                </c:lvl>
              </c:multiLvlStrCache>
            </c:multiLvlStrRef>
          </c:cat>
          <c:val>
            <c:numRef>
              <c:f>Sheet1!$F$15:$F$24</c:f>
              <c:numCache>
                <c:formatCode>General</c:formatCode>
                <c:ptCount val="10"/>
                <c:pt idx="0">
                  <c:v>20</c:v>
                </c:pt>
                <c:pt idx="1">
                  <c:v>50</c:v>
                </c:pt>
                <c:pt idx="2">
                  <c:v>15</c:v>
                </c:pt>
                <c:pt idx="3">
                  <c:v>110</c:v>
                </c:pt>
                <c:pt idx="4">
                  <c:v>80</c:v>
                </c:pt>
                <c:pt idx="5">
                  <c:v>44</c:v>
                </c:pt>
                <c:pt idx="6">
                  <c:v>60</c:v>
                </c:pt>
                <c:pt idx="7">
                  <c:v>25</c:v>
                </c:pt>
                <c:pt idx="8">
                  <c:v>36</c:v>
                </c:pt>
                <c:pt idx="9">
                  <c:v>80</c:v>
                </c:pt>
              </c:numCache>
            </c:numRef>
          </c:val>
        </c:ser>
        <c:dLbls>
          <c:showVal val="1"/>
        </c:dLbls>
        <c:overlap val="100"/>
        <c:axId val="115002368"/>
        <c:axId val="115225344"/>
      </c:barChart>
      <c:catAx>
        <c:axId val="115002368"/>
        <c:scaling>
          <c:orientation val="minMax"/>
        </c:scaling>
        <c:axPos val="b"/>
        <c:majorTickMark val="none"/>
        <c:tickLblPos val="nextTo"/>
        <c:crossAx val="115225344"/>
        <c:crosses val="autoZero"/>
        <c:auto val="1"/>
        <c:lblAlgn val="ctr"/>
        <c:lblOffset val="100"/>
      </c:catAx>
      <c:valAx>
        <c:axId val="115225344"/>
        <c:scaling>
          <c:orientation val="minMax"/>
        </c:scaling>
        <c:delete val="1"/>
        <c:axPos val="l"/>
        <c:numFmt formatCode="0%" sourceLinked="1"/>
        <c:majorTickMark val="none"/>
        <c:tickLblPos val="nextTo"/>
        <c:crossAx val="115002368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12</xdr:row>
      <xdr:rowOff>160020</xdr:rowOff>
    </xdr:from>
    <xdr:to>
      <xdr:col>12</xdr:col>
      <xdr:colOff>297180</xdr:colOff>
      <xdr:row>34</xdr:row>
      <xdr:rowOff>99060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B14:F24" totalsRowShown="0">
  <autoFilter ref="B14:F24"/>
  <sortState ref="B15:F24">
    <sortCondition descending="1" ref="E14:E24"/>
  </sortState>
  <tableColumns count="5">
    <tableColumn id="1" name="Product Name"/>
    <tableColumn id="2" name="Company"/>
    <tableColumn id="5" name="Category"/>
    <tableColumn id="3" name="Price"/>
    <tableColumn id="4" name="Quantity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24"/>
  <sheetViews>
    <sheetView tabSelected="1" topLeftCell="A4" workbookViewId="0">
      <selection activeCell="L6" sqref="L6"/>
    </sheetView>
  </sheetViews>
  <sheetFormatPr defaultRowHeight="13.8"/>
  <cols>
    <col min="2" max="2" width="25.296875" customWidth="1"/>
    <col min="3" max="3" width="14.3984375" bestFit="1" customWidth="1"/>
    <col min="4" max="4" width="13.3984375" customWidth="1"/>
    <col min="5" max="5" width="15.59765625" bestFit="1" customWidth="1"/>
    <col min="6" max="6" width="13.09765625" style="1" bestFit="1" customWidth="1"/>
    <col min="7" max="7" width="17.59765625" style="1" bestFit="1" customWidth="1"/>
    <col min="8" max="8" width="15.69921875" bestFit="1" customWidth="1"/>
    <col min="9" max="9" width="15.3984375" bestFit="1" customWidth="1"/>
  </cols>
  <sheetData>
    <row r="2" spans="2:9">
      <c r="B2" s="2" t="s">
        <v>0</v>
      </c>
      <c r="C2" s="3" t="s">
        <v>1</v>
      </c>
      <c r="D2" s="3" t="s">
        <v>2</v>
      </c>
      <c r="E2" s="3" t="s">
        <v>3</v>
      </c>
      <c r="F2" s="3" t="s">
        <v>16</v>
      </c>
      <c r="G2" s="3" t="s">
        <v>23</v>
      </c>
      <c r="H2" s="3" t="s">
        <v>17</v>
      </c>
      <c r="I2" s="3" t="s">
        <v>18</v>
      </c>
    </row>
    <row r="3" spans="2:9">
      <c r="B3" s="4" t="s">
        <v>4</v>
      </c>
      <c r="C3" s="4">
        <v>25</v>
      </c>
      <c r="D3" s="4" t="s">
        <v>14</v>
      </c>
      <c r="E3" s="5">
        <v>50000</v>
      </c>
      <c r="F3" s="6">
        <f t="shared" ref="F3:F11" si="0">E3*12</f>
        <v>600000</v>
      </c>
      <c r="G3" s="6"/>
      <c r="H3" s="4"/>
      <c r="I3" s="4"/>
    </row>
    <row r="4" spans="2:9">
      <c r="B4" s="4" t="s">
        <v>5</v>
      </c>
      <c r="C4" s="4">
        <v>22</v>
      </c>
      <c r="D4" s="4" t="s">
        <v>14</v>
      </c>
      <c r="E4" s="5">
        <v>40000</v>
      </c>
      <c r="F4" s="6">
        <f t="shared" si="0"/>
        <v>480000</v>
      </c>
      <c r="G4" s="6"/>
      <c r="H4" s="4"/>
      <c r="I4" s="4"/>
    </row>
    <row r="5" spans="2:9">
      <c r="B5" s="4" t="s">
        <v>6</v>
      </c>
      <c r="C5" s="4">
        <v>26</v>
      </c>
      <c r="D5" s="4" t="s">
        <v>14</v>
      </c>
      <c r="E5" s="5">
        <v>40000</v>
      </c>
      <c r="F5" s="6">
        <f t="shared" si="0"/>
        <v>480000</v>
      </c>
      <c r="G5" s="6"/>
      <c r="H5" s="4"/>
      <c r="I5" s="4"/>
    </row>
    <row r="6" spans="2:9">
      <c r="B6" s="4" t="s">
        <v>13</v>
      </c>
      <c r="C6" s="4">
        <v>22</v>
      </c>
      <c r="D6" s="4" t="s">
        <v>14</v>
      </c>
      <c r="E6" s="5">
        <v>30000</v>
      </c>
      <c r="F6" s="6">
        <f t="shared" si="0"/>
        <v>360000</v>
      </c>
      <c r="G6" s="6">
        <f>AVERAGE(E3:E6)</f>
        <v>40000</v>
      </c>
      <c r="H6" s="5">
        <f>MAX(E3:E6)</f>
        <v>50000</v>
      </c>
      <c r="I6" s="5">
        <f>MIN(E3:E6)</f>
        <v>30000</v>
      </c>
    </row>
    <row r="7" spans="2:9">
      <c r="B7" s="4" t="s">
        <v>7</v>
      </c>
      <c r="C7" s="4">
        <v>24</v>
      </c>
      <c r="D7" s="4" t="s">
        <v>15</v>
      </c>
      <c r="E7" s="5">
        <v>32000</v>
      </c>
      <c r="F7" s="6">
        <f t="shared" si="0"/>
        <v>384000</v>
      </c>
      <c r="G7" s="6"/>
      <c r="H7" s="4"/>
      <c r="I7" s="4"/>
    </row>
    <row r="8" spans="2:9">
      <c r="B8" s="4" t="s">
        <v>8</v>
      </c>
      <c r="C8" s="4">
        <v>24</v>
      </c>
      <c r="D8" s="4" t="s">
        <v>15</v>
      </c>
      <c r="E8" s="5">
        <v>25000</v>
      </c>
      <c r="F8" s="6">
        <f t="shared" si="0"/>
        <v>300000</v>
      </c>
      <c r="G8" s="6"/>
      <c r="H8" s="4"/>
      <c r="I8" s="4"/>
    </row>
    <row r="9" spans="2:9">
      <c r="B9" s="4" t="s">
        <v>9</v>
      </c>
      <c r="C9" s="4">
        <v>22</v>
      </c>
      <c r="D9" s="4" t="s">
        <v>15</v>
      </c>
      <c r="E9" s="5">
        <v>25000</v>
      </c>
      <c r="F9" s="6">
        <f t="shared" si="0"/>
        <v>300000</v>
      </c>
      <c r="G9" s="6"/>
      <c r="H9" s="4"/>
      <c r="I9" s="4"/>
    </row>
    <row r="10" spans="2:9">
      <c r="B10" s="4" t="s">
        <v>10</v>
      </c>
      <c r="C10" s="4">
        <v>25</v>
      </c>
      <c r="D10" s="4" t="s">
        <v>15</v>
      </c>
      <c r="E10" s="5">
        <v>22000</v>
      </c>
      <c r="F10" s="6">
        <f t="shared" si="0"/>
        <v>264000</v>
      </c>
      <c r="G10" s="6"/>
      <c r="H10" s="4"/>
      <c r="I10" s="4"/>
    </row>
    <row r="11" spans="2:9">
      <c r="B11" s="4" t="s">
        <v>11</v>
      </c>
      <c r="C11" s="4">
        <v>25</v>
      </c>
      <c r="D11" s="4" t="s">
        <v>15</v>
      </c>
      <c r="E11" s="5">
        <v>22000</v>
      </c>
      <c r="F11" s="6">
        <f t="shared" si="0"/>
        <v>264000</v>
      </c>
      <c r="G11" s="6"/>
      <c r="H11" s="4"/>
      <c r="I11" s="4"/>
    </row>
    <row r="12" spans="2:9">
      <c r="B12" s="4" t="s">
        <v>12</v>
      </c>
      <c r="C12" s="4">
        <v>21</v>
      </c>
      <c r="D12" s="4" t="s">
        <v>15</v>
      </c>
      <c r="E12" s="5">
        <v>20000</v>
      </c>
      <c r="F12" s="6">
        <f>E12*12</f>
        <v>240000</v>
      </c>
      <c r="G12" s="6">
        <f>AVERAGE(E7:E12)</f>
        <v>24333.333333333332</v>
      </c>
      <c r="H12" s="5">
        <f>MAX(E7:E12)</f>
        <v>32000</v>
      </c>
      <c r="I12" s="5">
        <f>MIN(E7:E12)</f>
        <v>20000</v>
      </c>
    </row>
    <row r="14" spans="2:9">
      <c r="B14" t="s">
        <v>19</v>
      </c>
      <c r="C14" t="s">
        <v>30</v>
      </c>
      <c r="D14" t="s">
        <v>20</v>
      </c>
      <c r="E14" t="s">
        <v>21</v>
      </c>
      <c r="F14" t="s">
        <v>22</v>
      </c>
      <c r="H14" s="1"/>
    </row>
    <row r="15" spans="2:9">
      <c r="B15" t="s">
        <v>25</v>
      </c>
      <c r="C15" t="s">
        <v>32</v>
      </c>
      <c r="D15" t="s">
        <v>34</v>
      </c>
      <c r="E15">
        <v>6536</v>
      </c>
      <c r="F15">
        <v>20</v>
      </c>
      <c r="H15" s="1"/>
    </row>
    <row r="16" spans="2:9">
      <c r="B16" t="s">
        <v>24</v>
      </c>
      <c r="C16" t="s">
        <v>31</v>
      </c>
      <c r="D16" t="s">
        <v>33</v>
      </c>
      <c r="E16">
        <v>1200</v>
      </c>
      <c r="F16">
        <v>50</v>
      </c>
      <c r="H16" s="1"/>
    </row>
    <row r="17" spans="2:8">
      <c r="B17" t="s">
        <v>26</v>
      </c>
      <c r="C17" t="s">
        <v>36</v>
      </c>
      <c r="D17" t="s">
        <v>35</v>
      </c>
      <c r="E17">
        <v>950</v>
      </c>
      <c r="F17">
        <v>15</v>
      </c>
      <c r="H17" s="1"/>
    </row>
    <row r="18" spans="2:8">
      <c r="B18" t="s">
        <v>45</v>
      </c>
      <c r="C18" t="s">
        <v>37</v>
      </c>
      <c r="D18" t="s">
        <v>38</v>
      </c>
      <c r="E18">
        <v>2200</v>
      </c>
      <c r="F18">
        <v>110</v>
      </c>
      <c r="H18" s="1"/>
    </row>
    <row r="19" spans="2:8">
      <c r="B19" t="s">
        <v>47</v>
      </c>
      <c r="C19" t="s">
        <v>48</v>
      </c>
      <c r="D19" t="s">
        <v>46</v>
      </c>
      <c r="E19">
        <v>2600</v>
      </c>
      <c r="F19">
        <v>80</v>
      </c>
      <c r="H19" s="1"/>
    </row>
    <row r="20" spans="2:8">
      <c r="B20" t="s">
        <v>50</v>
      </c>
      <c r="C20" t="s">
        <v>49</v>
      </c>
      <c r="D20" t="s">
        <v>51</v>
      </c>
      <c r="E20">
        <v>14399</v>
      </c>
      <c r="F20">
        <v>44</v>
      </c>
      <c r="H20" s="1"/>
    </row>
    <row r="21" spans="2:8">
      <c r="B21" t="s">
        <v>29</v>
      </c>
      <c r="C21" t="s">
        <v>39</v>
      </c>
      <c r="D21" t="s">
        <v>41</v>
      </c>
      <c r="E21">
        <v>3500</v>
      </c>
      <c r="F21">
        <v>60</v>
      </c>
      <c r="H21" s="1"/>
    </row>
    <row r="22" spans="2:8">
      <c r="B22" t="s">
        <v>27</v>
      </c>
      <c r="C22" t="s">
        <v>40</v>
      </c>
      <c r="D22" t="s">
        <v>42</v>
      </c>
      <c r="E22">
        <v>137699</v>
      </c>
      <c r="F22">
        <v>25</v>
      </c>
      <c r="H22" s="1"/>
    </row>
    <row r="23" spans="2:8">
      <c r="B23" t="s">
        <v>28</v>
      </c>
      <c r="C23" t="s">
        <v>43</v>
      </c>
      <c r="D23" t="s">
        <v>44</v>
      </c>
      <c r="E23">
        <v>2839</v>
      </c>
      <c r="F23">
        <v>36</v>
      </c>
      <c r="H23" s="1"/>
    </row>
    <row r="24" spans="2:8">
      <c r="B24" t="s">
        <v>52</v>
      </c>
      <c r="C24" t="s">
        <v>53</v>
      </c>
      <c r="D24" t="s">
        <v>54</v>
      </c>
      <c r="E24">
        <v>4139</v>
      </c>
      <c r="F24">
        <v>80</v>
      </c>
      <c r="H24" s="1"/>
    </row>
  </sheetData>
  <phoneticPr fontId="3" type="noConversion"/>
  <conditionalFormatting sqref="F14:F24">
    <cfRule type="cellIs" dxfId="2" priority="6" operator="lessThan">
      <formula>20</formula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ellIs" dxfId="1" priority="2" operator="greaterThan">
      <formula>100</formula>
    </cfRule>
    <cfRule type="cellIs" dxfId="0" priority="1" operator="lessThan">
      <formula>20</formula>
    </cfRule>
  </conditionalFormatting>
  <conditionalFormatting sqref="F15:F24">
    <cfRule type="colorScale" priority="4">
      <colorScale>
        <cfvo type="num" val="20"/>
        <cfvo type="num" val="100"/>
        <color rgb="FFFF0000"/>
        <color theme="9" tint="-0.249977111117893"/>
      </colorScale>
    </cfRule>
    <cfRule type="dataBar" priority="5">
      <dataBar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{50676858-46DD-4393-9534-898A182F43F1}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676858-46DD-4393-9534-898A182F4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F15:F24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TMSL</dc:creator>
  <cp:lastModifiedBy>Dell</cp:lastModifiedBy>
  <dcterms:created xsi:type="dcterms:W3CDTF">2025-03-07T06:11:59Z</dcterms:created>
  <dcterms:modified xsi:type="dcterms:W3CDTF">2025-03-07T16:13:28Z</dcterms:modified>
</cp:coreProperties>
</file>