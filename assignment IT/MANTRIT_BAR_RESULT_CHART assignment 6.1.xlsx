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BE859B87-40E8-4AA4-A3F6-40A4713F5FD5}" xr6:coauthVersionLast="47" xr6:coauthVersionMax="47" xr10:uidLastSave="{00000000-0000-0000-0000-000000000000}"/>
  <bookViews>
    <workbookView xWindow="1275" yWindow="1065" windowWidth="18000" windowHeight="9360" xr2:uid="{CADB9420-EAEA-4ED1-864F-5D45394B8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J11" i="1" s="1"/>
  <c r="F11" i="1"/>
  <c r="J3" i="1"/>
  <c r="J4" i="1"/>
  <c r="J5" i="1"/>
  <c r="J6" i="1"/>
  <c r="J8" i="1"/>
  <c r="J9" i="1"/>
  <c r="J10" i="1"/>
  <c r="J2" i="1"/>
  <c r="I3" i="1"/>
  <c r="I6" i="1"/>
  <c r="I8" i="1"/>
  <c r="I9" i="1"/>
  <c r="I10" i="1"/>
  <c r="I2" i="1"/>
  <c r="F3" i="1"/>
  <c r="F4" i="1"/>
  <c r="I4" i="1" s="1"/>
  <c r="F5" i="1"/>
  <c r="I5" i="1" s="1"/>
  <c r="F6" i="1"/>
  <c r="F7" i="1"/>
  <c r="F8" i="1"/>
  <c r="F9" i="1"/>
  <c r="F10" i="1"/>
  <c r="F2" i="1"/>
  <c r="I7" i="1" l="1"/>
  <c r="J7" i="1" s="1"/>
</calcChain>
</file>

<file path=xl/sharedStrings.xml><?xml version="1.0" encoding="utf-8"?>
<sst xmlns="http://schemas.openxmlformats.org/spreadsheetml/2006/main" count="20" uniqueCount="20">
  <si>
    <t>Student Name</t>
  </si>
  <si>
    <t>Obtained Marks</t>
  </si>
  <si>
    <t>Passing Marks</t>
  </si>
  <si>
    <t>Total Marks</t>
  </si>
  <si>
    <t>Percentage (%)</t>
  </si>
  <si>
    <t>Grade (Pass/Fail)</t>
  </si>
  <si>
    <t>NIKHIL ROY</t>
  </si>
  <si>
    <t>SUBIR BISWAS</t>
  </si>
  <si>
    <t xml:space="preserve">RAHUL DEV </t>
  </si>
  <si>
    <t>SAGAR PAL</t>
  </si>
  <si>
    <t>MANTRIT BAR</t>
  </si>
  <si>
    <t>ASHIS DEY</t>
  </si>
  <si>
    <t xml:space="preserve">MUSKAN KUMARI </t>
  </si>
  <si>
    <t>POULOMI ROY</t>
  </si>
  <si>
    <t>ANANNYA DEY</t>
  </si>
  <si>
    <t>Mathematic</t>
  </si>
  <si>
    <t>Physics</t>
  </si>
  <si>
    <t>IT</t>
  </si>
  <si>
    <t>Electronics</t>
  </si>
  <si>
    <t>CHIRAG BISWAS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</si>
</sst>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Result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Mathematic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NIKHIL ROY</c:v>
                </c:pt>
                <c:pt idx="1">
                  <c:v>SUBIR BISWAS</c:v>
                </c:pt>
                <c:pt idx="2">
                  <c:v>RAHUL DEV </c:v>
                </c:pt>
                <c:pt idx="3">
                  <c:v>SAGAR PAL</c:v>
                </c:pt>
                <c:pt idx="4">
                  <c:v>MANTRIT BAR</c:v>
                </c:pt>
                <c:pt idx="5">
                  <c:v>ASHIS DEY</c:v>
                </c:pt>
                <c:pt idx="6">
                  <c:v>MUSKAN KUMARI </c:v>
                </c:pt>
                <c:pt idx="7">
                  <c:v>POULOMI ROY</c:v>
                </c:pt>
                <c:pt idx="8">
                  <c:v>ANANNYA DEY</c:v>
                </c:pt>
                <c:pt idx="9">
                  <c:v>CHIRAG BISWAS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89</c:v>
                </c:pt>
                <c:pt idx="1">
                  <c:v>90</c:v>
                </c:pt>
                <c:pt idx="2">
                  <c:v>70</c:v>
                </c:pt>
                <c:pt idx="3">
                  <c:v>40</c:v>
                </c:pt>
                <c:pt idx="4">
                  <c:v>93</c:v>
                </c:pt>
                <c:pt idx="5">
                  <c:v>44</c:v>
                </c:pt>
                <c:pt idx="6">
                  <c:v>95</c:v>
                </c:pt>
                <c:pt idx="7">
                  <c:v>96</c:v>
                </c:pt>
                <c:pt idx="8">
                  <c:v>97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A-4A68-A082-66A1330F29C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Physics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NIKHIL ROY</c:v>
                </c:pt>
                <c:pt idx="1">
                  <c:v>SUBIR BISWAS</c:v>
                </c:pt>
                <c:pt idx="2">
                  <c:v>RAHUL DEV </c:v>
                </c:pt>
                <c:pt idx="3">
                  <c:v>SAGAR PAL</c:v>
                </c:pt>
                <c:pt idx="4">
                  <c:v>MANTRIT BAR</c:v>
                </c:pt>
                <c:pt idx="5">
                  <c:v>ASHIS DEY</c:v>
                </c:pt>
                <c:pt idx="6">
                  <c:v>MUSKAN KUMARI </c:v>
                </c:pt>
                <c:pt idx="7">
                  <c:v>POULOMI ROY</c:v>
                </c:pt>
                <c:pt idx="8">
                  <c:v>ANANNYA DEY</c:v>
                </c:pt>
                <c:pt idx="9">
                  <c:v>CHIRAG BISWAS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97</c:v>
                </c:pt>
                <c:pt idx="1">
                  <c:v>96</c:v>
                </c:pt>
                <c:pt idx="2">
                  <c:v>95</c:v>
                </c:pt>
                <c:pt idx="3">
                  <c:v>45</c:v>
                </c:pt>
                <c:pt idx="4">
                  <c:v>93</c:v>
                </c:pt>
                <c:pt idx="5">
                  <c:v>49</c:v>
                </c:pt>
                <c:pt idx="6">
                  <c:v>91</c:v>
                </c:pt>
                <c:pt idx="7">
                  <c:v>90</c:v>
                </c:pt>
                <c:pt idx="8">
                  <c:v>89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9A-4A68-A082-66A1330F29C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NIKHIL ROY</c:v>
                </c:pt>
                <c:pt idx="1">
                  <c:v>SUBIR BISWAS</c:v>
                </c:pt>
                <c:pt idx="2">
                  <c:v>RAHUL DEV </c:v>
                </c:pt>
                <c:pt idx="3">
                  <c:v>SAGAR PAL</c:v>
                </c:pt>
                <c:pt idx="4">
                  <c:v>MANTRIT BAR</c:v>
                </c:pt>
                <c:pt idx="5">
                  <c:v>ASHIS DEY</c:v>
                </c:pt>
                <c:pt idx="6">
                  <c:v>MUSKAN KUMARI </c:v>
                </c:pt>
                <c:pt idx="7">
                  <c:v>POULOMI ROY</c:v>
                </c:pt>
                <c:pt idx="8">
                  <c:v>ANANNYA DEY</c:v>
                </c:pt>
                <c:pt idx="9">
                  <c:v>CHIRAG BISWAS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89</c:v>
                </c:pt>
                <c:pt idx="1">
                  <c:v>76</c:v>
                </c:pt>
                <c:pt idx="2">
                  <c:v>78</c:v>
                </c:pt>
                <c:pt idx="3">
                  <c:v>50</c:v>
                </c:pt>
                <c:pt idx="4">
                  <c:v>78</c:v>
                </c:pt>
                <c:pt idx="5">
                  <c:v>56</c:v>
                </c:pt>
                <c:pt idx="6">
                  <c:v>88</c:v>
                </c:pt>
                <c:pt idx="7">
                  <c:v>82</c:v>
                </c:pt>
                <c:pt idx="8">
                  <c:v>70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9A-4A68-A082-66A1330F29C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NIKHIL ROY</c:v>
                </c:pt>
                <c:pt idx="1">
                  <c:v>SUBIR BISWAS</c:v>
                </c:pt>
                <c:pt idx="2">
                  <c:v>RAHUL DEV </c:v>
                </c:pt>
                <c:pt idx="3">
                  <c:v>SAGAR PAL</c:v>
                </c:pt>
                <c:pt idx="4">
                  <c:v>MANTRIT BAR</c:v>
                </c:pt>
                <c:pt idx="5">
                  <c:v>ASHIS DEY</c:v>
                </c:pt>
                <c:pt idx="6">
                  <c:v>MUSKAN KUMARI </c:v>
                </c:pt>
                <c:pt idx="7">
                  <c:v>POULOMI ROY</c:v>
                </c:pt>
                <c:pt idx="8">
                  <c:v>ANANNYA DEY</c:v>
                </c:pt>
                <c:pt idx="9">
                  <c:v>CHIRAG BISWAS</c:v>
                </c:pt>
              </c:strCache>
            </c: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10</c:v>
                </c:pt>
                <c:pt idx="1">
                  <c:v>69</c:v>
                </c:pt>
                <c:pt idx="2">
                  <c:v>60</c:v>
                </c:pt>
                <c:pt idx="3">
                  <c:v>55</c:v>
                </c:pt>
                <c:pt idx="4">
                  <c:v>96</c:v>
                </c:pt>
                <c:pt idx="5">
                  <c:v>48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9A-4A68-A082-66A1330F2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04773488"/>
        <c:axId val="1104762448"/>
      </c:barChart>
      <c:catAx>
        <c:axId val="110477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62448"/>
        <c:crosses val="autoZero"/>
        <c:auto val="1"/>
        <c:lblAlgn val="ctr"/>
        <c:lblOffset val="100"/>
        <c:noMultiLvlLbl val="0"/>
      </c:catAx>
      <c:valAx>
        <c:axId val="11047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7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11</xdr:row>
      <xdr:rowOff>166687</xdr:rowOff>
    </xdr:from>
    <xdr:to>
      <xdr:col>6</xdr:col>
      <xdr:colOff>295275</xdr:colOff>
      <xdr:row>26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B1E6B3-875C-DFB7-2666-C9B7ED744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AFF7-9D60-47B5-B3D7-A01E17FF82BF}">
  <dimension ref="A1:J11"/>
  <sheetViews>
    <sheetView tabSelected="1" topLeftCell="A3" workbookViewId="0">
      <selection activeCell="I11" sqref="I11"/>
    </sheetView>
  </sheetViews>
  <sheetFormatPr defaultRowHeight="15" x14ac:dyDescent="0.25"/>
  <cols>
    <col min="1" max="1" width="16.42578125" customWidth="1"/>
    <col min="2" max="2" width="11.28515625" customWidth="1"/>
    <col min="5" max="5" width="13.28515625" customWidth="1"/>
    <col min="6" max="6" width="15" customWidth="1"/>
    <col min="7" max="7" width="13.42578125" customWidth="1"/>
    <col min="8" max="8" width="11.85546875" customWidth="1"/>
    <col min="9" max="9" width="13.85546875" customWidth="1"/>
    <col min="10" max="10" width="16.5703125" customWidth="1"/>
  </cols>
  <sheetData>
    <row r="1" spans="1:10" s="2" customFormat="1" ht="28.5" customHeight="1" x14ac:dyDescent="0.25">
      <c r="A1" s="3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F1" s="4" t="s">
        <v>1</v>
      </c>
      <c r="G1" s="4" t="s">
        <v>2</v>
      </c>
      <c r="H1" s="5" t="s">
        <v>3</v>
      </c>
      <c r="I1" s="6" t="s">
        <v>4</v>
      </c>
      <c r="J1" s="7" t="s">
        <v>5</v>
      </c>
    </row>
    <row r="2" spans="1:10" x14ac:dyDescent="0.25">
      <c r="A2" s="4" t="s">
        <v>6</v>
      </c>
      <c r="B2">
        <v>89</v>
      </c>
      <c r="C2">
        <v>97</v>
      </c>
      <c r="D2">
        <v>89</v>
      </c>
      <c r="E2">
        <v>10</v>
      </c>
      <c r="F2">
        <f>SUM(B2,C2,D2,E2,)</f>
        <v>285</v>
      </c>
      <c r="G2">
        <v>240</v>
      </c>
      <c r="H2">
        <v>400</v>
      </c>
      <c r="I2" s="1">
        <f>F2/H2</f>
        <v>0.71250000000000002</v>
      </c>
      <c r="J2" t="str">
        <f>IF(I2&gt;=50%,"Pass","Fail")</f>
        <v>Pass</v>
      </c>
    </row>
    <row r="3" spans="1:10" x14ac:dyDescent="0.25">
      <c r="A3" s="4" t="s">
        <v>7</v>
      </c>
      <c r="B3">
        <v>90</v>
      </c>
      <c r="C3">
        <v>96</v>
      </c>
      <c r="D3">
        <v>76</v>
      </c>
      <c r="E3">
        <v>69</v>
      </c>
      <c r="F3">
        <f t="shared" ref="F3:F11" si="0">SUM(B3,C3,D3,E3,)</f>
        <v>331</v>
      </c>
      <c r="G3">
        <v>240</v>
      </c>
      <c r="H3">
        <v>400</v>
      </c>
      <c r="I3" s="1">
        <f>F3/H3</f>
        <v>0.82750000000000001</v>
      </c>
      <c r="J3" t="str">
        <f t="shared" ref="J3:J11" si="1">IF(I3&gt;=50%,"Pass","Fail")</f>
        <v>Pass</v>
      </c>
    </row>
    <row r="4" spans="1:10" x14ac:dyDescent="0.25">
      <c r="A4" s="4" t="s">
        <v>8</v>
      </c>
      <c r="B4">
        <v>70</v>
      </c>
      <c r="C4">
        <v>95</v>
      </c>
      <c r="D4">
        <v>78</v>
      </c>
      <c r="E4">
        <v>60</v>
      </c>
      <c r="F4">
        <f t="shared" si="0"/>
        <v>303</v>
      </c>
      <c r="G4">
        <v>240</v>
      </c>
      <c r="H4">
        <v>400</v>
      </c>
      <c r="I4" s="1">
        <f t="shared" ref="I4:I11" si="2">F4/H4</f>
        <v>0.75749999999999995</v>
      </c>
      <c r="J4" t="str">
        <f t="shared" si="1"/>
        <v>Pass</v>
      </c>
    </row>
    <row r="5" spans="1:10" x14ac:dyDescent="0.25">
      <c r="A5" s="4" t="s">
        <v>9</v>
      </c>
      <c r="B5">
        <v>40</v>
      </c>
      <c r="C5">
        <v>45</v>
      </c>
      <c r="D5">
        <v>50</v>
      </c>
      <c r="E5">
        <v>55</v>
      </c>
      <c r="F5">
        <f t="shared" si="0"/>
        <v>190</v>
      </c>
      <c r="G5">
        <v>240</v>
      </c>
      <c r="H5">
        <v>400</v>
      </c>
      <c r="I5" s="1">
        <f t="shared" si="2"/>
        <v>0.47499999999999998</v>
      </c>
      <c r="J5" t="str">
        <f t="shared" si="1"/>
        <v>Fail</v>
      </c>
    </row>
    <row r="6" spans="1:10" x14ac:dyDescent="0.25">
      <c r="A6" s="4" t="s">
        <v>10</v>
      </c>
      <c r="B6">
        <v>93</v>
      </c>
      <c r="C6">
        <v>93</v>
      </c>
      <c r="D6">
        <v>78</v>
      </c>
      <c r="E6">
        <v>96</v>
      </c>
      <c r="F6">
        <f t="shared" si="0"/>
        <v>360</v>
      </c>
      <c r="G6">
        <v>240</v>
      </c>
      <c r="H6">
        <v>400</v>
      </c>
      <c r="I6" s="1">
        <f t="shared" si="2"/>
        <v>0.9</v>
      </c>
      <c r="J6" t="str">
        <f t="shared" si="1"/>
        <v>Pass</v>
      </c>
    </row>
    <row r="7" spans="1:10" x14ac:dyDescent="0.25">
      <c r="A7" s="4" t="s">
        <v>11</v>
      </c>
      <c r="B7">
        <v>44</v>
      </c>
      <c r="C7">
        <v>49</v>
      </c>
      <c r="D7">
        <v>56</v>
      </c>
      <c r="E7">
        <v>48</v>
      </c>
      <c r="F7">
        <f t="shared" si="0"/>
        <v>197</v>
      </c>
      <c r="G7">
        <v>240</v>
      </c>
      <c r="H7">
        <v>400</v>
      </c>
      <c r="I7" s="1">
        <f>F7/H7</f>
        <v>0.49249999999999999</v>
      </c>
      <c r="J7" t="str">
        <f t="shared" si="1"/>
        <v>Fail</v>
      </c>
    </row>
    <row r="8" spans="1:10" x14ac:dyDescent="0.25">
      <c r="A8" s="4" t="s">
        <v>12</v>
      </c>
      <c r="B8">
        <v>95</v>
      </c>
      <c r="C8">
        <v>91</v>
      </c>
      <c r="D8">
        <v>88</v>
      </c>
      <c r="E8">
        <v>94</v>
      </c>
      <c r="F8">
        <f t="shared" si="0"/>
        <v>368</v>
      </c>
      <c r="G8">
        <v>240</v>
      </c>
      <c r="H8">
        <v>400</v>
      </c>
      <c r="I8" s="1">
        <f t="shared" si="2"/>
        <v>0.92</v>
      </c>
      <c r="J8" t="str">
        <f t="shared" si="1"/>
        <v>Pass</v>
      </c>
    </row>
    <row r="9" spans="1:10" x14ac:dyDescent="0.25">
      <c r="A9" s="4" t="s">
        <v>13</v>
      </c>
      <c r="B9">
        <v>96</v>
      </c>
      <c r="C9">
        <v>90</v>
      </c>
      <c r="D9">
        <v>82</v>
      </c>
      <c r="E9">
        <v>93</v>
      </c>
      <c r="F9">
        <f t="shared" si="0"/>
        <v>361</v>
      </c>
      <c r="G9">
        <v>240</v>
      </c>
      <c r="H9">
        <v>400</v>
      </c>
      <c r="I9" s="1">
        <f t="shared" si="2"/>
        <v>0.90249999999999997</v>
      </c>
      <c r="J9" t="str">
        <f t="shared" si="1"/>
        <v>Pass</v>
      </c>
    </row>
    <row r="10" spans="1:10" x14ac:dyDescent="0.25">
      <c r="A10" s="4" t="s">
        <v>14</v>
      </c>
      <c r="B10">
        <v>97</v>
      </c>
      <c r="C10">
        <v>89</v>
      </c>
      <c r="D10">
        <v>70</v>
      </c>
      <c r="E10">
        <v>92</v>
      </c>
      <c r="F10">
        <f t="shared" si="0"/>
        <v>348</v>
      </c>
      <c r="G10">
        <v>240</v>
      </c>
      <c r="H10">
        <v>400</v>
      </c>
      <c r="I10" s="1">
        <f t="shared" si="2"/>
        <v>0.87</v>
      </c>
      <c r="J10" t="str">
        <f t="shared" si="1"/>
        <v>Pass</v>
      </c>
    </row>
    <row r="11" spans="1:10" x14ac:dyDescent="0.25">
      <c r="A11" s="4" t="s">
        <v>19</v>
      </c>
      <c r="B11">
        <v>60</v>
      </c>
      <c r="C11">
        <v>60</v>
      </c>
      <c r="D11">
        <v>80</v>
      </c>
      <c r="E11">
        <v>90</v>
      </c>
      <c r="F11">
        <f t="shared" si="0"/>
        <v>290</v>
      </c>
      <c r="G11">
        <v>240</v>
      </c>
      <c r="H11">
        <v>400</v>
      </c>
      <c r="I11" s="1">
        <f t="shared" si="2"/>
        <v>0.72499999999999998</v>
      </c>
      <c r="J11" t="str">
        <f t="shared" si="1"/>
        <v>Pass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TMSL</dc:creator>
  <cp:lastModifiedBy>IT TMSL</cp:lastModifiedBy>
  <dcterms:created xsi:type="dcterms:W3CDTF">2025-03-07T05:01:11Z</dcterms:created>
  <dcterms:modified xsi:type="dcterms:W3CDTF">2025-03-07T06:38:05Z</dcterms:modified>
</cp:coreProperties>
</file>